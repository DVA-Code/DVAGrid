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D-VA\Main Project\"/>
    </mc:Choice>
  </mc:AlternateContent>
  <xr:revisionPtr revIDLastSave="0" documentId="13_ncr:1_{12067B69-7CB3-4EEF-8BC8-3829D5C3B085}" xr6:coauthVersionLast="36" xr6:coauthVersionMax="36" xr10:uidLastSave="{00000000-0000-0000-0000-000000000000}"/>
  <bookViews>
    <workbookView xWindow="0" yWindow="0" windowWidth="20496" windowHeight="8208" xr2:uid="{00000000-000D-0000-FFFF-FFFF00000000}"/>
  </bookViews>
  <sheets>
    <sheet name="Sheet1" sheetId="1" r:id="rId1"/>
  </sheets>
  <definedNames>
    <definedName name="_63eab2fec3ce40eb8d14295fc814d9ef_1" localSheetId="0">Sheet1!$U$37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14" i="1"/>
  <c r="N16" i="1" l="1"/>
  <c r="G16" i="1" s="1"/>
  <c r="N17" i="1"/>
  <c r="G17" i="1" s="1"/>
  <c r="N18" i="1"/>
  <c r="G18" i="1" s="1"/>
  <c r="N19" i="1"/>
  <c r="G19" i="1" s="1"/>
  <c r="N20" i="1"/>
  <c r="N21" i="1"/>
  <c r="N22" i="1"/>
  <c r="N23" i="1"/>
  <c r="N24" i="1"/>
  <c r="N25" i="1"/>
  <c r="N26" i="1"/>
  <c r="N27" i="1"/>
  <c r="N28" i="1"/>
  <c r="G28" i="1" s="1"/>
  <c r="N29" i="1"/>
  <c r="G29" i="1" s="1"/>
  <c r="N30" i="1"/>
  <c r="G30" i="1" s="1"/>
  <c r="N31" i="1"/>
  <c r="G31" i="1" s="1"/>
  <c r="N32" i="1"/>
  <c r="G32" i="1" s="1"/>
  <c r="N33" i="1"/>
  <c r="G33" i="1" s="1"/>
  <c r="N34" i="1"/>
  <c r="G34" i="1" s="1"/>
  <c r="N35" i="1"/>
  <c r="G35" i="1" s="1"/>
  <c r="N36" i="1"/>
  <c r="G36" i="1" s="1"/>
  <c r="N37" i="1"/>
  <c r="G37" i="1" s="1"/>
  <c r="N38" i="1"/>
  <c r="G38" i="1" s="1"/>
  <c r="N39" i="1"/>
  <c r="G39" i="1" s="1"/>
  <c r="N40" i="1"/>
  <c r="G40" i="1" s="1"/>
  <c r="N41" i="1"/>
  <c r="G41" i="1" s="1"/>
  <c r="N14" i="1"/>
  <c r="N15" i="1"/>
  <c r="P22" i="1"/>
  <c r="P30" i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P41" i="1" s="1"/>
  <c r="O14" i="1"/>
  <c r="P14" i="1" s="1"/>
  <c r="K41" i="1"/>
  <c r="F41" i="1" s="1"/>
  <c r="K15" i="1"/>
  <c r="F15" i="1" s="1"/>
  <c r="K16" i="1"/>
  <c r="F16" i="1" s="1"/>
  <c r="K17" i="1"/>
  <c r="F17" i="1" s="1"/>
  <c r="K18" i="1"/>
  <c r="F18" i="1" s="1"/>
  <c r="K19" i="1"/>
  <c r="F19" i="1" s="1"/>
  <c r="K20" i="1"/>
  <c r="F20" i="1" s="1"/>
  <c r="K21" i="1"/>
  <c r="K22" i="1"/>
  <c r="F22" i="1" s="1"/>
  <c r="K23" i="1"/>
  <c r="F23" i="1" s="1"/>
  <c r="K24" i="1"/>
  <c r="F24" i="1" s="1"/>
  <c r="K25" i="1"/>
  <c r="F25" i="1" s="1"/>
  <c r="K26" i="1"/>
  <c r="F26" i="1" s="1"/>
  <c r="K27" i="1"/>
  <c r="F27" i="1" s="1"/>
  <c r="K28" i="1"/>
  <c r="F28" i="1" s="1"/>
  <c r="K29" i="1"/>
  <c r="F29" i="1" s="1"/>
  <c r="K30" i="1"/>
  <c r="F30" i="1" s="1"/>
  <c r="K31" i="1"/>
  <c r="F31" i="1" s="1"/>
  <c r="K32" i="1"/>
  <c r="F32" i="1" s="1"/>
  <c r="K33" i="1"/>
  <c r="F33" i="1" s="1"/>
  <c r="K34" i="1"/>
  <c r="F34" i="1" s="1"/>
  <c r="K35" i="1"/>
  <c r="F35" i="1" s="1"/>
  <c r="K36" i="1"/>
  <c r="F36" i="1" s="1"/>
  <c r="K37" i="1"/>
  <c r="F37" i="1" s="1"/>
  <c r="K38" i="1"/>
  <c r="K39" i="1"/>
  <c r="F39" i="1" s="1"/>
  <c r="K40" i="1"/>
  <c r="F40" i="1" s="1"/>
  <c r="K14" i="1"/>
  <c r="I43" i="1"/>
  <c r="F21" i="1"/>
  <c r="F38" i="1"/>
  <c r="N43" i="1" l="1"/>
  <c r="G15" i="1"/>
  <c r="K43" i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F14" i="1" l="1"/>
  <c r="G4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 saveData="1">
    <webPr sourceData="1" parsePre="1" consecutive="1" url="https://www.iammeter.com/home/share/63eab2fec3ce40eb8d14295fc814d9ef"/>
  </connection>
</connections>
</file>

<file path=xl/sharedStrings.xml><?xml version="1.0" encoding="utf-8"?>
<sst xmlns="http://schemas.openxmlformats.org/spreadsheetml/2006/main" count="118" uniqueCount="90">
  <si>
    <t>Load Name</t>
  </si>
  <si>
    <t>Node Connected At</t>
  </si>
  <si>
    <t>CB Rating</t>
  </si>
  <si>
    <t>Power in MW</t>
  </si>
  <si>
    <t>AAC Block</t>
  </si>
  <si>
    <t>AAC</t>
  </si>
  <si>
    <t>ADMINISTRATION</t>
  </si>
  <si>
    <t>Administration</t>
  </si>
  <si>
    <t>BLOCK_10</t>
  </si>
  <si>
    <t>Block_10</t>
  </si>
  <si>
    <t>BLOCK_11</t>
  </si>
  <si>
    <t>Block_11</t>
  </si>
  <si>
    <t>BOYS_HOSTEL</t>
  </si>
  <si>
    <t>KU_Boyshostel</t>
  </si>
  <si>
    <t>Biotechnology(1)</t>
  </si>
  <si>
    <t>Biotechnology</t>
  </si>
  <si>
    <t>Block 8</t>
  </si>
  <si>
    <t>Block_8</t>
  </si>
  <si>
    <t>CV_RAMAN</t>
  </si>
  <si>
    <t>CV_Raman</t>
  </si>
  <si>
    <t>FAMILY_QUARTER</t>
  </si>
  <si>
    <t>A5 (Family Quater)</t>
  </si>
  <si>
    <t>KU_BOYS</t>
  </si>
  <si>
    <t>Block_9</t>
  </si>
  <si>
    <t>Girls_Hostel</t>
  </si>
  <si>
    <t>KU_MESH(1)</t>
  </si>
  <si>
    <t>KU_MESH</t>
  </si>
  <si>
    <t>KU_TTC(1)</t>
  </si>
  <si>
    <t>KU_TTC</t>
  </si>
  <si>
    <t>LIBRARY</t>
  </si>
  <si>
    <t>Library</t>
  </si>
  <si>
    <t>MECHANICAL_BLOCK</t>
  </si>
  <si>
    <t>Mechanical</t>
  </si>
  <si>
    <t>Multipurpose_Hall(1)</t>
  </si>
  <si>
    <t>Multipurpose_Hall</t>
  </si>
  <si>
    <t>NIMB</t>
  </si>
  <si>
    <t>Nepal Investment Bank</t>
  </si>
  <si>
    <t>PHARMACY_BLOCK</t>
  </si>
  <si>
    <t>Pharmacy_Block</t>
  </si>
  <si>
    <t>SLM_LAB</t>
  </si>
  <si>
    <t>SOM_LAB</t>
  </si>
  <si>
    <t>STAFF_QUARTER</t>
  </si>
  <si>
    <t>Staff Quater</t>
  </si>
  <si>
    <t>Science Block</t>
  </si>
  <si>
    <t>Science_Block</t>
  </si>
  <si>
    <t>TTC_BLOCKA</t>
  </si>
  <si>
    <t>TTC_2</t>
  </si>
  <si>
    <t>TTC_BLOCKB</t>
  </si>
  <si>
    <t>TTC_BlockA</t>
  </si>
  <si>
    <t>TTL(1)</t>
  </si>
  <si>
    <t>TTL</t>
  </si>
  <si>
    <t>ATM</t>
  </si>
  <si>
    <t>E5</t>
  </si>
  <si>
    <t>General Load(15)</t>
  </si>
  <si>
    <t>General Load(2)</t>
  </si>
  <si>
    <t>General Load(6)</t>
  </si>
  <si>
    <t>ATM_NIMB</t>
  </si>
  <si>
    <t>KU_Cafe</t>
  </si>
  <si>
    <t>KU_CAFE</t>
  </si>
  <si>
    <t>Peak Power (MW)</t>
  </si>
  <si>
    <t>Off Peak(MW)</t>
  </si>
  <si>
    <t>Worst Case(A)</t>
  </si>
  <si>
    <t>PF</t>
  </si>
  <si>
    <t>Load3</t>
  </si>
  <si>
    <t>Load5</t>
  </si>
  <si>
    <t>Load6</t>
  </si>
  <si>
    <t>Load10</t>
  </si>
  <si>
    <t>Load50</t>
  </si>
  <si>
    <t>Load25</t>
  </si>
  <si>
    <t>Load30</t>
  </si>
  <si>
    <t>Load8</t>
  </si>
  <si>
    <t>Load13</t>
  </si>
  <si>
    <t>Load16</t>
  </si>
  <si>
    <t>Load17</t>
  </si>
  <si>
    <t>Load19</t>
  </si>
  <si>
    <t>Load22</t>
  </si>
  <si>
    <t>Load23</t>
  </si>
  <si>
    <t>Load27</t>
  </si>
  <si>
    <t>Load28</t>
  </si>
  <si>
    <t>Load52</t>
  </si>
  <si>
    <t>Load32</t>
  </si>
  <si>
    <t>Load34</t>
  </si>
  <si>
    <t>Load36</t>
  </si>
  <si>
    <t>Load38</t>
  </si>
  <si>
    <t>Load40</t>
  </si>
  <si>
    <t>Load41</t>
  </si>
  <si>
    <t>Load43</t>
  </si>
  <si>
    <t>Load45</t>
  </si>
  <si>
    <t>Load49</t>
  </si>
  <si>
    <t>Load51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</si>
</sst>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63eab2fec3ce40eb8d14295fc814d9ef_1" firstBackgroundRefresh="1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T43"/>
  <sheetViews>
    <sheetView tabSelected="1" topLeftCell="G28" zoomScale="170" zoomScaleNormal="170" workbookViewId="0">
      <selection activeCell="M33" sqref="M33"/>
    </sheetView>
  </sheetViews>
  <sheetFormatPr defaultRowHeight="14.4" x14ac:dyDescent="0.3"/>
  <cols>
    <col min="4" max="4" width="24.33203125" customWidth="1"/>
    <col min="5" max="5" width="28.6640625" customWidth="1"/>
    <col min="11" max="13" width="19.44140625" customWidth="1"/>
    <col min="14" max="14" width="15.44140625" customWidth="1"/>
    <col min="15" max="15" width="16.6640625" customWidth="1"/>
    <col min="21" max="21" width="30.5546875" bestFit="1" customWidth="1"/>
    <col min="22" max="22" width="6.44140625" customWidth="1"/>
    <col min="23" max="23" width="9" customWidth="1"/>
  </cols>
  <sheetData>
    <row r="9" spans="1:16" x14ac:dyDescent="0.3">
      <c r="F9">
        <v>0.99</v>
      </c>
    </row>
    <row r="13" spans="1:16" x14ac:dyDescent="0.3">
      <c r="D13" s="1" t="s">
        <v>0</v>
      </c>
      <c r="E13" s="1" t="s">
        <v>1</v>
      </c>
      <c r="F13" s="1" t="s">
        <v>2</v>
      </c>
      <c r="G13" s="1" t="s">
        <v>3</v>
      </c>
      <c r="H13" s="1" t="s">
        <v>62</v>
      </c>
      <c r="K13" t="s">
        <v>59</v>
      </c>
      <c r="N13" t="s">
        <v>60</v>
      </c>
      <c r="O13" t="s">
        <v>61</v>
      </c>
    </row>
    <row r="14" spans="1:16" x14ac:dyDescent="0.3">
      <c r="A14">
        <v>1</v>
      </c>
      <c r="B14" t="s">
        <v>73</v>
      </c>
      <c r="D14" t="s">
        <v>4</v>
      </c>
      <c r="E14" t="s">
        <v>5</v>
      </c>
      <c r="F14">
        <f>H14</f>
        <v>0.9</v>
      </c>
      <c r="G14">
        <v>0</v>
      </c>
      <c r="H14">
        <v>0.9</v>
      </c>
      <c r="I14">
        <v>50</v>
      </c>
      <c r="K14">
        <f>I14/4740*0.10224</f>
        <v>1.0784810126582278E-3</v>
      </c>
      <c r="L14" s="2">
        <f>K14/0.10224</f>
        <v>1.0548523206751054E-2</v>
      </c>
      <c r="M14" t="s">
        <v>73</v>
      </c>
      <c r="N14">
        <f>I14/4740*46.26/1000</f>
        <v>4.8797468354430375E-4</v>
      </c>
      <c r="O14">
        <f>I14/400*125</f>
        <v>15.625</v>
      </c>
      <c r="P14">
        <f>(3*0.4*O14*0.9)/1000</f>
        <v>1.6875000000000005E-2</v>
      </c>
    </row>
    <row r="15" spans="1:16" x14ac:dyDescent="0.3">
      <c r="A15">
        <f>A14+1</f>
        <v>2</v>
      </c>
      <c r="B15" t="s">
        <v>70</v>
      </c>
      <c r="D15" t="s">
        <v>6</v>
      </c>
      <c r="E15" t="s">
        <v>7</v>
      </c>
      <c r="F15">
        <f t="shared" ref="F15:F41" si="0">K15</f>
        <v>4.3139240506329113E-3</v>
      </c>
      <c r="G15">
        <f t="shared" ref="G15:G41" si="1">N15</f>
        <v>1.951898734177215E-3</v>
      </c>
      <c r="H15">
        <v>0.9</v>
      </c>
      <c r="I15">
        <v>200</v>
      </c>
      <c r="K15">
        <f t="shared" ref="K15:K40" si="2">I15/4740*0.10224</f>
        <v>4.3139240506329113E-3</v>
      </c>
      <c r="L15" s="2">
        <f t="shared" ref="L15:L41" si="3">K15/0.10224</f>
        <v>4.2194092827004218E-2</v>
      </c>
      <c r="M15" t="s">
        <v>70</v>
      </c>
      <c r="N15">
        <f>I15/4740*46.26/1000</f>
        <v>1.951898734177215E-3</v>
      </c>
      <c r="O15">
        <f t="shared" ref="O15:O41" si="4">I15/400*125</f>
        <v>62.5</v>
      </c>
      <c r="P15">
        <f t="shared" ref="P15:P41" si="5">(3*0.4*O15*0.9)/1000</f>
        <v>6.7500000000000018E-2</v>
      </c>
    </row>
    <row r="16" spans="1:16" x14ac:dyDescent="0.3">
      <c r="A16">
        <f t="shared" ref="A16:A41" si="6">A15+1</f>
        <v>3</v>
      </c>
      <c r="B16" t="s">
        <v>69</v>
      </c>
      <c r="D16" t="s">
        <v>51</v>
      </c>
      <c r="E16" t="s">
        <v>56</v>
      </c>
      <c r="F16">
        <f t="shared" si="0"/>
        <v>4.3139240506329113E-3</v>
      </c>
      <c r="G16">
        <f t="shared" si="1"/>
        <v>1.951898734177215E-3</v>
      </c>
      <c r="H16">
        <v>0.9</v>
      </c>
      <c r="I16">
        <v>200</v>
      </c>
      <c r="K16">
        <f t="shared" si="2"/>
        <v>4.3139240506329113E-3</v>
      </c>
      <c r="L16" s="2">
        <f t="shared" si="3"/>
        <v>4.2194092827004218E-2</v>
      </c>
      <c r="M16" t="s">
        <v>69</v>
      </c>
      <c r="N16">
        <f t="shared" ref="N16:N41" si="7">I16/4740*46.26/1000</f>
        <v>1.951898734177215E-3</v>
      </c>
      <c r="O16">
        <f t="shared" si="4"/>
        <v>62.5</v>
      </c>
      <c r="P16">
        <f t="shared" si="5"/>
        <v>6.7500000000000018E-2</v>
      </c>
    </row>
    <row r="17" spans="1:16" x14ac:dyDescent="0.3">
      <c r="A17">
        <f t="shared" si="6"/>
        <v>4</v>
      </c>
      <c r="B17" t="s">
        <v>64</v>
      </c>
      <c r="D17" t="s">
        <v>8</v>
      </c>
      <c r="E17" t="s">
        <v>9</v>
      </c>
      <c r="F17">
        <f t="shared" si="0"/>
        <v>4.3139240506329113E-3</v>
      </c>
      <c r="G17">
        <f t="shared" si="1"/>
        <v>1.951898734177215E-3</v>
      </c>
      <c r="H17">
        <v>0.9</v>
      </c>
      <c r="I17">
        <v>200</v>
      </c>
      <c r="K17">
        <f t="shared" si="2"/>
        <v>4.3139240506329113E-3</v>
      </c>
      <c r="L17" s="2">
        <f t="shared" si="3"/>
        <v>4.2194092827004218E-2</v>
      </c>
      <c r="M17" s="3" t="s">
        <v>64</v>
      </c>
      <c r="N17">
        <f t="shared" si="7"/>
        <v>1.951898734177215E-3</v>
      </c>
      <c r="O17">
        <f t="shared" si="4"/>
        <v>62.5</v>
      </c>
      <c r="P17">
        <f t="shared" si="5"/>
        <v>6.7500000000000018E-2</v>
      </c>
    </row>
    <row r="18" spans="1:16" x14ac:dyDescent="0.3">
      <c r="A18">
        <f t="shared" si="6"/>
        <v>5</v>
      </c>
      <c r="B18" t="s">
        <v>65</v>
      </c>
      <c r="D18" t="s">
        <v>10</v>
      </c>
      <c r="E18" t="s">
        <v>11</v>
      </c>
      <c r="F18">
        <f t="shared" si="0"/>
        <v>2.1569620253164556E-3</v>
      </c>
      <c r="G18">
        <f t="shared" si="1"/>
        <v>9.7594936708860749E-4</v>
      </c>
      <c r="H18">
        <v>0.9</v>
      </c>
      <c r="I18">
        <v>100</v>
      </c>
      <c r="K18">
        <f t="shared" si="2"/>
        <v>2.1569620253164556E-3</v>
      </c>
      <c r="L18" s="2">
        <f t="shared" si="3"/>
        <v>2.1097046413502109E-2</v>
      </c>
      <c r="M18" s="3" t="s">
        <v>65</v>
      </c>
      <c r="N18">
        <f t="shared" si="7"/>
        <v>9.7594936708860749E-4</v>
      </c>
      <c r="O18">
        <f t="shared" si="4"/>
        <v>31.25</v>
      </c>
      <c r="P18">
        <f t="shared" si="5"/>
        <v>3.3750000000000009E-2</v>
      </c>
    </row>
    <row r="19" spans="1:16" x14ac:dyDescent="0.3">
      <c r="A19">
        <f t="shared" si="6"/>
        <v>6</v>
      </c>
      <c r="B19" t="s">
        <v>83</v>
      </c>
      <c r="D19" t="s">
        <v>12</v>
      </c>
      <c r="E19" t="s">
        <v>13</v>
      </c>
      <c r="F19">
        <f t="shared" si="0"/>
        <v>8.6278481012658226E-3</v>
      </c>
      <c r="G19">
        <f t="shared" si="1"/>
        <v>3.90379746835443E-3</v>
      </c>
      <c r="H19">
        <v>0.9</v>
      </c>
      <c r="I19">
        <v>400</v>
      </c>
      <c r="K19">
        <f t="shared" si="2"/>
        <v>8.6278481012658226E-3</v>
      </c>
      <c r="L19" s="2">
        <f t="shared" si="3"/>
        <v>8.4388185654008435E-2</v>
      </c>
      <c r="M19" t="s">
        <v>83</v>
      </c>
      <c r="N19">
        <f t="shared" si="7"/>
        <v>3.90379746835443E-3</v>
      </c>
      <c r="O19">
        <f t="shared" si="4"/>
        <v>125</v>
      </c>
      <c r="P19">
        <f t="shared" si="5"/>
        <v>0.13500000000000004</v>
      </c>
    </row>
    <row r="20" spans="1:16" x14ac:dyDescent="0.3">
      <c r="A20">
        <f t="shared" si="6"/>
        <v>7</v>
      </c>
      <c r="B20" t="s">
        <v>74</v>
      </c>
      <c r="D20" t="s">
        <v>14</v>
      </c>
      <c r="E20" t="s">
        <v>15</v>
      </c>
      <c r="F20">
        <f t="shared" si="0"/>
        <v>2.1569620253164556E-3</v>
      </c>
      <c r="G20">
        <v>0</v>
      </c>
      <c r="H20">
        <v>0.9</v>
      </c>
      <c r="I20">
        <v>100</v>
      </c>
      <c r="K20">
        <f t="shared" si="2"/>
        <v>2.1569620253164556E-3</v>
      </c>
      <c r="L20" s="2">
        <f t="shared" si="3"/>
        <v>2.1097046413502109E-2</v>
      </c>
      <c r="M20" s="3" t="s">
        <v>74</v>
      </c>
      <c r="N20">
        <f t="shared" si="7"/>
        <v>9.7594936708860749E-4</v>
      </c>
      <c r="O20">
        <f t="shared" si="4"/>
        <v>31.25</v>
      </c>
      <c r="P20">
        <f t="shared" si="5"/>
        <v>3.3750000000000009E-2</v>
      </c>
    </row>
    <row r="21" spans="1:16" x14ac:dyDescent="0.3">
      <c r="A21">
        <f t="shared" si="6"/>
        <v>8</v>
      </c>
      <c r="B21" t="s">
        <v>88</v>
      </c>
      <c r="D21" t="s">
        <v>16</v>
      </c>
      <c r="E21" t="s">
        <v>17</v>
      </c>
      <c r="F21">
        <f t="shared" si="0"/>
        <v>6.4708860759493669E-3</v>
      </c>
      <c r="G21">
        <v>0</v>
      </c>
      <c r="H21">
        <v>0.9</v>
      </c>
      <c r="I21">
        <v>300</v>
      </c>
      <c r="K21">
        <f t="shared" si="2"/>
        <v>6.4708860759493669E-3</v>
      </c>
      <c r="L21" s="2">
        <f t="shared" si="3"/>
        <v>6.3291139240506333E-2</v>
      </c>
      <c r="M21" s="3" t="s">
        <v>88</v>
      </c>
      <c r="N21">
        <f t="shared" si="7"/>
        <v>2.9278481012658228E-3</v>
      </c>
      <c r="O21">
        <f t="shared" si="4"/>
        <v>93.75</v>
      </c>
      <c r="P21">
        <f t="shared" si="5"/>
        <v>0.10125000000000002</v>
      </c>
    </row>
    <row r="22" spans="1:16" x14ac:dyDescent="0.3">
      <c r="A22">
        <f t="shared" si="6"/>
        <v>9</v>
      </c>
      <c r="B22" t="s">
        <v>71</v>
      </c>
      <c r="D22" t="s">
        <v>18</v>
      </c>
      <c r="E22" t="s">
        <v>19</v>
      </c>
      <c r="F22">
        <f t="shared" si="0"/>
        <v>5.3924050632911391E-3</v>
      </c>
      <c r="G22">
        <v>0.01</v>
      </c>
      <c r="H22">
        <v>0.9</v>
      </c>
      <c r="I22">
        <v>250</v>
      </c>
      <c r="K22">
        <f t="shared" si="2"/>
        <v>5.3924050632911391E-3</v>
      </c>
      <c r="L22" s="2">
        <f t="shared" si="3"/>
        <v>5.2742616033755275E-2</v>
      </c>
      <c r="M22" t="s">
        <v>71</v>
      </c>
      <c r="N22">
        <f t="shared" si="7"/>
        <v>2.4398734177215192E-3</v>
      </c>
      <c r="O22">
        <f t="shared" si="4"/>
        <v>78.125</v>
      </c>
      <c r="P22">
        <f t="shared" si="5"/>
        <v>8.4375000000000019E-2</v>
      </c>
    </row>
    <row r="23" spans="1:16" x14ac:dyDescent="0.3">
      <c r="A23">
        <f t="shared" si="6"/>
        <v>10</v>
      </c>
      <c r="D23" t="s">
        <v>52</v>
      </c>
      <c r="E23" t="s">
        <v>52</v>
      </c>
      <c r="F23">
        <f t="shared" si="0"/>
        <v>5.3924050632911391E-3</v>
      </c>
      <c r="G23">
        <v>0.01</v>
      </c>
      <c r="H23">
        <v>0.9</v>
      </c>
      <c r="I23">
        <v>250</v>
      </c>
      <c r="K23">
        <f t="shared" si="2"/>
        <v>5.3924050632911391E-3</v>
      </c>
      <c r="L23" s="2">
        <f t="shared" si="3"/>
        <v>5.2742616033755275E-2</v>
      </c>
      <c r="N23">
        <f t="shared" si="7"/>
        <v>2.4398734177215192E-3</v>
      </c>
      <c r="O23">
        <f t="shared" si="4"/>
        <v>78.125</v>
      </c>
      <c r="P23">
        <f t="shared" si="5"/>
        <v>8.4375000000000019E-2</v>
      </c>
    </row>
    <row r="24" spans="1:16" x14ac:dyDescent="0.3">
      <c r="A24">
        <f t="shared" si="6"/>
        <v>11</v>
      </c>
      <c r="B24" t="s">
        <v>76</v>
      </c>
      <c r="D24" t="s">
        <v>20</v>
      </c>
      <c r="E24" t="s">
        <v>21</v>
      </c>
      <c r="F24">
        <f t="shared" si="0"/>
        <v>4.3139240506329113E-3</v>
      </c>
      <c r="G24">
        <v>0.01</v>
      </c>
      <c r="H24">
        <v>0.9</v>
      </c>
      <c r="I24">
        <v>200</v>
      </c>
      <c r="K24">
        <f t="shared" si="2"/>
        <v>4.3139240506329113E-3</v>
      </c>
      <c r="L24" s="2">
        <f t="shared" si="3"/>
        <v>4.2194092827004218E-2</v>
      </c>
      <c r="M24" t="s">
        <v>76</v>
      </c>
      <c r="N24">
        <f t="shared" si="7"/>
        <v>1.951898734177215E-3</v>
      </c>
      <c r="O24">
        <f t="shared" si="4"/>
        <v>62.5</v>
      </c>
      <c r="P24">
        <f t="shared" si="5"/>
        <v>6.7500000000000018E-2</v>
      </c>
    </row>
    <row r="25" spans="1:16" x14ac:dyDescent="0.3">
      <c r="A25">
        <f t="shared" si="6"/>
        <v>12</v>
      </c>
      <c r="B25" t="s">
        <v>85</v>
      </c>
      <c r="D25" t="s">
        <v>53</v>
      </c>
      <c r="E25" t="s">
        <v>22</v>
      </c>
      <c r="F25">
        <f t="shared" si="0"/>
        <v>5.3924050632911391E-3</v>
      </c>
      <c r="G25">
        <v>0.01</v>
      </c>
      <c r="H25">
        <v>0.9</v>
      </c>
      <c r="I25">
        <v>250</v>
      </c>
      <c r="K25">
        <f t="shared" si="2"/>
        <v>5.3924050632911391E-3</v>
      </c>
      <c r="L25" s="2">
        <f t="shared" si="3"/>
        <v>5.2742616033755275E-2</v>
      </c>
      <c r="M25" t="s">
        <v>85</v>
      </c>
      <c r="N25">
        <f t="shared" si="7"/>
        <v>2.4398734177215192E-3</v>
      </c>
      <c r="O25">
        <f t="shared" si="4"/>
        <v>78.125</v>
      </c>
      <c r="P25">
        <f t="shared" si="5"/>
        <v>8.4375000000000019E-2</v>
      </c>
    </row>
    <row r="26" spans="1:16" x14ac:dyDescent="0.3">
      <c r="A26">
        <f t="shared" si="6"/>
        <v>13</v>
      </c>
      <c r="B26" t="s">
        <v>67</v>
      </c>
      <c r="D26" t="s">
        <v>54</v>
      </c>
      <c r="E26" t="s">
        <v>23</v>
      </c>
      <c r="F26">
        <f t="shared" si="0"/>
        <v>4.3139240506329113E-3</v>
      </c>
      <c r="G26">
        <v>0.01</v>
      </c>
      <c r="H26">
        <v>0.9</v>
      </c>
      <c r="I26">
        <v>200</v>
      </c>
      <c r="K26">
        <f t="shared" si="2"/>
        <v>4.3139240506329113E-3</v>
      </c>
      <c r="L26" s="2">
        <f t="shared" si="3"/>
        <v>4.2194092827004218E-2</v>
      </c>
      <c r="M26" t="s">
        <v>67</v>
      </c>
      <c r="N26">
        <f t="shared" si="7"/>
        <v>1.951898734177215E-3</v>
      </c>
      <c r="O26">
        <f t="shared" si="4"/>
        <v>62.5</v>
      </c>
      <c r="P26">
        <f t="shared" si="5"/>
        <v>6.7500000000000018E-2</v>
      </c>
    </row>
    <row r="27" spans="1:16" x14ac:dyDescent="0.3">
      <c r="A27">
        <f t="shared" si="6"/>
        <v>14</v>
      </c>
      <c r="B27" t="s">
        <v>75</v>
      </c>
      <c r="D27" t="s">
        <v>55</v>
      </c>
      <c r="E27" t="s">
        <v>24</v>
      </c>
      <c r="F27">
        <f t="shared" si="0"/>
        <v>8.6278481012658226E-3</v>
      </c>
      <c r="G27">
        <v>0.01</v>
      </c>
      <c r="H27">
        <v>0.9</v>
      </c>
      <c r="I27">
        <v>400</v>
      </c>
      <c r="K27">
        <f t="shared" si="2"/>
        <v>8.6278481012658226E-3</v>
      </c>
      <c r="L27" s="2">
        <f t="shared" si="3"/>
        <v>8.4388185654008435E-2</v>
      </c>
      <c r="M27" t="s">
        <v>75</v>
      </c>
      <c r="N27">
        <f t="shared" si="7"/>
        <v>3.90379746835443E-3</v>
      </c>
      <c r="O27">
        <f t="shared" si="4"/>
        <v>125</v>
      </c>
      <c r="P27">
        <f t="shared" si="5"/>
        <v>0.13500000000000004</v>
      </c>
    </row>
    <row r="28" spans="1:16" x14ac:dyDescent="0.3">
      <c r="A28">
        <f t="shared" si="6"/>
        <v>15</v>
      </c>
      <c r="B28" t="s">
        <v>81</v>
      </c>
      <c r="D28" t="s">
        <v>57</v>
      </c>
      <c r="E28" t="s">
        <v>58</v>
      </c>
      <c r="F28">
        <f t="shared" si="0"/>
        <v>5.3924050632911391E-4</v>
      </c>
      <c r="G28">
        <f t="shared" si="1"/>
        <v>2.4398734177215187E-4</v>
      </c>
      <c r="H28">
        <v>0.9</v>
      </c>
      <c r="I28">
        <v>25</v>
      </c>
      <c r="K28">
        <f t="shared" si="2"/>
        <v>5.3924050632911391E-4</v>
      </c>
      <c r="L28" s="2">
        <f t="shared" si="3"/>
        <v>5.2742616033755272E-3</v>
      </c>
      <c r="M28" t="s">
        <v>81</v>
      </c>
      <c r="N28">
        <f t="shared" si="7"/>
        <v>2.4398734177215187E-4</v>
      </c>
      <c r="O28">
        <f t="shared" si="4"/>
        <v>7.8125</v>
      </c>
      <c r="P28">
        <f t="shared" si="5"/>
        <v>8.4375000000000023E-3</v>
      </c>
    </row>
    <row r="29" spans="1:16" x14ac:dyDescent="0.3">
      <c r="A29">
        <f t="shared" si="6"/>
        <v>16</v>
      </c>
      <c r="B29" t="s">
        <v>82</v>
      </c>
      <c r="D29" t="s">
        <v>25</v>
      </c>
      <c r="E29" t="s">
        <v>26</v>
      </c>
      <c r="F29">
        <f t="shared" si="0"/>
        <v>8.6278481012658215E-4</v>
      </c>
      <c r="G29">
        <f t="shared" si="1"/>
        <v>3.9037974683544299E-4</v>
      </c>
      <c r="H29">
        <v>0.9</v>
      </c>
      <c r="I29">
        <v>40</v>
      </c>
      <c r="K29">
        <f t="shared" si="2"/>
        <v>8.6278481012658215E-4</v>
      </c>
      <c r="L29" s="2">
        <f t="shared" si="3"/>
        <v>8.4388185654008432E-3</v>
      </c>
      <c r="M29" t="s">
        <v>82</v>
      </c>
      <c r="N29">
        <f t="shared" si="7"/>
        <v>3.9037974683544299E-4</v>
      </c>
      <c r="O29">
        <f t="shared" si="4"/>
        <v>12.5</v>
      </c>
      <c r="P29">
        <f t="shared" si="5"/>
        <v>1.3500000000000002E-2</v>
      </c>
    </row>
    <row r="30" spans="1:16" x14ac:dyDescent="0.3">
      <c r="A30">
        <f t="shared" si="6"/>
        <v>17</v>
      </c>
      <c r="B30" t="s">
        <v>84</v>
      </c>
      <c r="D30" t="s">
        <v>27</v>
      </c>
      <c r="E30" t="s">
        <v>28</v>
      </c>
      <c r="F30">
        <f t="shared" si="0"/>
        <v>2.1569620253164556E-3</v>
      </c>
      <c r="G30">
        <f t="shared" si="1"/>
        <v>9.7594936708860749E-4</v>
      </c>
      <c r="H30">
        <v>0.9</v>
      </c>
      <c r="I30">
        <v>100</v>
      </c>
      <c r="K30">
        <f t="shared" si="2"/>
        <v>2.1569620253164556E-3</v>
      </c>
      <c r="L30" s="2">
        <f t="shared" si="3"/>
        <v>2.1097046413502109E-2</v>
      </c>
      <c r="M30" t="s">
        <v>84</v>
      </c>
      <c r="N30">
        <f t="shared" si="7"/>
        <v>9.7594936708860749E-4</v>
      </c>
      <c r="O30">
        <f t="shared" si="4"/>
        <v>31.25</v>
      </c>
      <c r="P30">
        <f t="shared" si="5"/>
        <v>3.3750000000000009E-2</v>
      </c>
    </row>
    <row r="31" spans="1:16" x14ac:dyDescent="0.3">
      <c r="A31">
        <f t="shared" si="6"/>
        <v>18</v>
      </c>
      <c r="B31" t="s">
        <v>66</v>
      </c>
      <c r="D31" t="s">
        <v>29</v>
      </c>
      <c r="E31" t="s">
        <v>30</v>
      </c>
      <c r="F31">
        <f t="shared" si="0"/>
        <v>2.1569620253164556E-3</v>
      </c>
      <c r="G31">
        <f t="shared" si="1"/>
        <v>9.7594936708860749E-4</v>
      </c>
      <c r="H31">
        <v>0.9</v>
      </c>
      <c r="I31">
        <v>100</v>
      </c>
      <c r="K31">
        <f t="shared" si="2"/>
        <v>2.1569620253164556E-3</v>
      </c>
      <c r="L31" s="2">
        <f t="shared" si="3"/>
        <v>2.1097046413502109E-2</v>
      </c>
      <c r="M31" t="s">
        <v>66</v>
      </c>
      <c r="N31">
        <f t="shared" si="7"/>
        <v>9.7594936708860749E-4</v>
      </c>
      <c r="O31">
        <f t="shared" si="4"/>
        <v>31.25</v>
      </c>
      <c r="P31">
        <f t="shared" si="5"/>
        <v>3.3750000000000009E-2</v>
      </c>
    </row>
    <row r="32" spans="1:16" x14ac:dyDescent="0.3">
      <c r="A32">
        <f t="shared" si="6"/>
        <v>19</v>
      </c>
      <c r="B32" t="s">
        <v>68</v>
      </c>
      <c r="D32" t="s">
        <v>31</v>
      </c>
      <c r="E32" t="s">
        <v>32</v>
      </c>
      <c r="F32">
        <f t="shared" si="0"/>
        <v>1.0784810126582278E-3</v>
      </c>
      <c r="G32">
        <f t="shared" si="1"/>
        <v>4.8797468354430375E-4</v>
      </c>
      <c r="H32">
        <v>0.9</v>
      </c>
      <c r="I32">
        <v>50</v>
      </c>
      <c r="K32">
        <f t="shared" si="2"/>
        <v>1.0784810126582278E-3</v>
      </c>
      <c r="L32" s="2">
        <f t="shared" si="3"/>
        <v>1.0548523206751054E-2</v>
      </c>
      <c r="M32" t="s">
        <v>68</v>
      </c>
      <c r="N32">
        <f t="shared" si="7"/>
        <v>4.8797468354430375E-4</v>
      </c>
      <c r="O32">
        <f t="shared" si="4"/>
        <v>15.625</v>
      </c>
      <c r="P32">
        <f t="shared" si="5"/>
        <v>1.6875000000000005E-2</v>
      </c>
    </row>
    <row r="33" spans="1:20" x14ac:dyDescent="0.3">
      <c r="A33">
        <f t="shared" si="6"/>
        <v>20</v>
      </c>
      <c r="B33" t="s">
        <v>63</v>
      </c>
      <c r="D33" t="s">
        <v>33</v>
      </c>
      <c r="E33" t="s">
        <v>34</v>
      </c>
      <c r="F33">
        <f t="shared" si="0"/>
        <v>2.1569620253164556E-3</v>
      </c>
      <c r="G33">
        <f t="shared" si="1"/>
        <v>9.7594936708860749E-4</v>
      </c>
      <c r="H33">
        <v>0.9</v>
      </c>
      <c r="I33">
        <v>100</v>
      </c>
      <c r="K33">
        <f t="shared" si="2"/>
        <v>2.1569620253164556E-3</v>
      </c>
      <c r="L33" s="2">
        <f t="shared" si="3"/>
        <v>2.1097046413502109E-2</v>
      </c>
      <c r="M33" t="s">
        <v>63</v>
      </c>
      <c r="N33">
        <f t="shared" si="7"/>
        <v>9.7594936708860749E-4</v>
      </c>
      <c r="O33">
        <f t="shared" si="4"/>
        <v>31.25</v>
      </c>
      <c r="P33">
        <f t="shared" si="5"/>
        <v>3.3750000000000009E-2</v>
      </c>
    </row>
    <row r="34" spans="1:20" x14ac:dyDescent="0.3">
      <c r="A34">
        <f t="shared" si="6"/>
        <v>21</v>
      </c>
      <c r="B34" t="s">
        <v>87</v>
      </c>
      <c r="D34" t="s">
        <v>35</v>
      </c>
      <c r="E34" t="s">
        <v>36</v>
      </c>
      <c r="F34">
        <f t="shared" si="0"/>
        <v>5.3924050632911391E-4</v>
      </c>
      <c r="G34">
        <f t="shared" si="1"/>
        <v>2.4398734177215187E-4</v>
      </c>
      <c r="H34">
        <v>0.9</v>
      </c>
      <c r="I34">
        <v>25</v>
      </c>
      <c r="K34">
        <f t="shared" si="2"/>
        <v>5.3924050632911391E-4</v>
      </c>
      <c r="L34" s="2">
        <f t="shared" si="3"/>
        <v>5.2742616033755272E-3</v>
      </c>
      <c r="M34" t="s">
        <v>87</v>
      </c>
      <c r="N34">
        <f t="shared" si="7"/>
        <v>2.4398734177215187E-4</v>
      </c>
      <c r="O34">
        <f t="shared" si="4"/>
        <v>7.8125</v>
      </c>
      <c r="P34">
        <f t="shared" si="5"/>
        <v>8.4375000000000023E-3</v>
      </c>
      <c r="T34">
        <v>1</v>
      </c>
    </row>
    <row r="35" spans="1:20" x14ac:dyDescent="0.3">
      <c r="A35">
        <f t="shared" si="6"/>
        <v>22</v>
      </c>
      <c r="B35" t="s">
        <v>80</v>
      </c>
      <c r="D35" t="s">
        <v>37</v>
      </c>
      <c r="E35" t="s">
        <v>38</v>
      </c>
      <c r="F35">
        <f t="shared" si="0"/>
        <v>2.1569620253164556E-3</v>
      </c>
      <c r="G35">
        <f t="shared" si="1"/>
        <v>9.7594936708860749E-4</v>
      </c>
      <c r="H35">
        <v>0.9</v>
      </c>
      <c r="I35">
        <v>100</v>
      </c>
      <c r="K35">
        <f t="shared" si="2"/>
        <v>2.1569620253164556E-3</v>
      </c>
      <c r="L35" s="2">
        <f t="shared" si="3"/>
        <v>2.1097046413502109E-2</v>
      </c>
      <c r="M35" t="s">
        <v>80</v>
      </c>
      <c r="N35">
        <f t="shared" si="7"/>
        <v>9.7594936708860749E-4</v>
      </c>
      <c r="O35">
        <f t="shared" si="4"/>
        <v>31.25</v>
      </c>
      <c r="P35">
        <f t="shared" si="5"/>
        <v>3.3750000000000009E-2</v>
      </c>
    </row>
    <row r="36" spans="1:20" x14ac:dyDescent="0.3">
      <c r="A36">
        <f t="shared" si="6"/>
        <v>23</v>
      </c>
      <c r="B36" t="s">
        <v>79</v>
      </c>
      <c r="D36" t="s">
        <v>39</v>
      </c>
      <c r="E36" t="s">
        <v>40</v>
      </c>
      <c r="F36">
        <f t="shared" si="0"/>
        <v>2.1569620253164556E-3</v>
      </c>
      <c r="G36">
        <f t="shared" si="1"/>
        <v>9.7594936708860749E-4</v>
      </c>
      <c r="H36">
        <v>0.9</v>
      </c>
      <c r="I36">
        <v>100</v>
      </c>
      <c r="K36">
        <f t="shared" si="2"/>
        <v>2.1569620253164556E-3</v>
      </c>
      <c r="L36" s="2">
        <f t="shared" si="3"/>
        <v>2.1097046413502109E-2</v>
      </c>
      <c r="M36" t="s">
        <v>79</v>
      </c>
      <c r="N36">
        <f t="shared" si="7"/>
        <v>9.7594936708860749E-4</v>
      </c>
      <c r="O36">
        <f t="shared" si="4"/>
        <v>31.25</v>
      </c>
      <c r="P36">
        <f t="shared" si="5"/>
        <v>3.3750000000000009E-2</v>
      </c>
    </row>
    <row r="37" spans="1:20" x14ac:dyDescent="0.3">
      <c r="A37">
        <f t="shared" si="6"/>
        <v>24</v>
      </c>
      <c r="B37" t="s">
        <v>86</v>
      </c>
      <c r="D37" t="s">
        <v>41</v>
      </c>
      <c r="E37" t="s">
        <v>42</v>
      </c>
      <c r="F37">
        <f t="shared" si="0"/>
        <v>2.1569620253164556E-3</v>
      </c>
      <c r="G37">
        <f t="shared" si="1"/>
        <v>9.7594936708860749E-4</v>
      </c>
      <c r="H37">
        <v>0.9</v>
      </c>
      <c r="I37">
        <v>100</v>
      </c>
      <c r="K37">
        <f t="shared" si="2"/>
        <v>2.1569620253164556E-3</v>
      </c>
      <c r="L37" s="2">
        <f t="shared" si="3"/>
        <v>2.1097046413502109E-2</v>
      </c>
      <c r="M37" t="s">
        <v>86</v>
      </c>
      <c r="N37">
        <f t="shared" si="7"/>
        <v>9.7594936708860749E-4</v>
      </c>
      <c r="O37">
        <f t="shared" si="4"/>
        <v>31.25</v>
      </c>
      <c r="P37">
        <f t="shared" si="5"/>
        <v>3.3750000000000009E-2</v>
      </c>
    </row>
    <row r="38" spans="1:20" x14ac:dyDescent="0.3">
      <c r="A38">
        <f t="shared" si="6"/>
        <v>25</v>
      </c>
      <c r="B38" t="s">
        <v>72</v>
      </c>
      <c r="D38" t="s">
        <v>43</v>
      </c>
      <c r="E38" t="s">
        <v>44</v>
      </c>
      <c r="F38">
        <f t="shared" si="0"/>
        <v>2.1569620253164556E-3</v>
      </c>
      <c r="G38">
        <f t="shared" si="1"/>
        <v>9.7594936708860749E-4</v>
      </c>
      <c r="H38">
        <v>0.9</v>
      </c>
      <c r="I38">
        <v>100</v>
      </c>
      <c r="K38">
        <f t="shared" si="2"/>
        <v>2.1569620253164556E-3</v>
      </c>
      <c r="L38" s="2">
        <f t="shared" si="3"/>
        <v>2.1097046413502109E-2</v>
      </c>
      <c r="M38" s="3" t="s">
        <v>72</v>
      </c>
      <c r="N38">
        <f t="shared" si="7"/>
        <v>9.7594936708860749E-4</v>
      </c>
      <c r="O38">
        <f t="shared" si="4"/>
        <v>31.25</v>
      </c>
      <c r="P38">
        <f t="shared" si="5"/>
        <v>3.3750000000000009E-2</v>
      </c>
    </row>
    <row r="39" spans="1:20" x14ac:dyDescent="0.3">
      <c r="A39">
        <f t="shared" si="6"/>
        <v>26</v>
      </c>
      <c r="B39" t="s">
        <v>78</v>
      </c>
      <c r="D39" t="s">
        <v>45</v>
      </c>
      <c r="E39" t="s">
        <v>46</v>
      </c>
      <c r="F39">
        <f t="shared" si="0"/>
        <v>4.3139240506329113E-3</v>
      </c>
      <c r="G39">
        <f t="shared" si="1"/>
        <v>1.951898734177215E-3</v>
      </c>
      <c r="H39">
        <v>0.9</v>
      </c>
      <c r="I39">
        <v>200</v>
      </c>
      <c r="K39">
        <f t="shared" si="2"/>
        <v>4.3139240506329113E-3</v>
      </c>
      <c r="L39" s="2">
        <f t="shared" si="3"/>
        <v>4.2194092827004218E-2</v>
      </c>
      <c r="M39" t="s">
        <v>78</v>
      </c>
      <c r="N39">
        <f t="shared" si="7"/>
        <v>1.951898734177215E-3</v>
      </c>
      <c r="O39">
        <f t="shared" si="4"/>
        <v>62.5</v>
      </c>
      <c r="P39">
        <f t="shared" si="5"/>
        <v>6.7500000000000018E-2</v>
      </c>
    </row>
    <row r="40" spans="1:20" x14ac:dyDescent="0.3">
      <c r="A40">
        <f t="shared" si="6"/>
        <v>27</v>
      </c>
      <c r="B40" t="s">
        <v>77</v>
      </c>
      <c r="D40" t="s">
        <v>47</v>
      </c>
      <c r="E40" t="s">
        <v>48</v>
      </c>
      <c r="F40">
        <f t="shared" si="0"/>
        <v>6.4708860759493669E-3</v>
      </c>
      <c r="G40">
        <f t="shared" si="1"/>
        <v>2.9278481012658228E-3</v>
      </c>
      <c r="H40">
        <v>0.9</v>
      </c>
      <c r="I40">
        <v>300</v>
      </c>
      <c r="K40">
        <f t="shared" si="2"/>
        <v>6.4708860759493669E-3</v>
      </c>
      <c r="L40" s="2">
        <f t="shared" si="3"/>
        <v>6.3291139240506333E-2</v>
      </c>
      <c r="M40" t="s">
        <v>77</v>
      </c>
      <c r="N40">
        <f t="shared" si="7"/>
        <v>2.9278481012658228E-3</v>
      </c>
      <c r="O40">
        <f t="shared" si="4"/>
        <v>93.75</v>
      </c>
      <c r="P40">
        <f t="shared" si="5"/>
        <v>0.10125000000000002</v>
      </c>
    </row>
    <row r="41" spans="1:20" x14ac:dyDescent="0.3">
      <c r="A41">
        <f t="shared" si="6"/>
        <v>28</v>
      </c>
      <c r="B41" t="s">
        <v>89</v>
      </c>
      <c r="D41" t="s">
        <v>49</v>
      </c>
      <c r="E41" t="s">
        <v>50</v>
      </c>
      <c r="F41">
        <f t="shared" si="0"/>
        <v>6.4708860759493669E-3</v>
      </c>
      <c r="G41">
        <f t="shared" si="1"/>
        <v>2.9278481012658228E-3</v>
      </c>
      <c r="H41">
        <v>0.9</v>
      </c>
      <c r="I41">
        <v>300</v>
      </c>
      <c r="K41">
        <f>I41/4740*0.10224</f>
        <v>6.4708860759493669E-3</v>
      </c>
      <c r="L41" s="2">
        <f t="shared" si="3"/>
        <v>6.3291139240506333E-2</v>
      </c>
      <c r="M41" t="s">
        <v>89</v>
      </c>
      <c r="N41">
        <f t="shared" si="7"/>
        <v>2.9278481012658228E-3</v>
      </c>
      <c r="O41">
        <f t="shared" si="4"/>
        <v>93.75</v>
      </c>
      <c r="P41">
        <f t="shared" si="5"/>
        <v>0.10125000000000002</v>
      </c>
    </row>
    <row r="43" spans="1:20" x14ac:dyDescent="0.3">
      <c r="G43">
        <f>SUM(G14:G41)</f>
        <v>8.6741012658227895E-2</v>
      </c>
      <c r="I43">
        <f>SUM(I14:I41)</f>
        <v>4740</v>
      </c>
      <c r="K43">
        <f>SUM(K14:K41)</f>
        <v>0.10224</v>
      </c>
      <c r="L43" s="2"/>
      <c r="M43" s="2"/>
      <c r="N43">
        <f>SUM(N14:N41)</f>
        <v>4.6260000000000003E-2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Sheet1!_63eab2fec3ce40eb8d14295fc814d9ef_1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Phurba</dc:creator>
  <cp:lastModifiedBy>Nabindra Shrestha</cp:lastModifiedBy>
  <dcterms:created xsi:type="dcterms:W3CDTF">2023-12-03T12:17:39Z</dcterms:created>
  <dcterms:modified xsi:type="dcterms:W3CDTF">2024-08-15T12:01:11Z</dcterms:modified>
</cp:coreProperties>
</file>