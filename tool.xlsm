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ATYUSH\Desktop\"/>
    </mc:Choice>
  </mc:AlternateContent>
  <bookViews>
    <workbookView xWindow="0" yWindow="0" windowWidth="20490" windowHeight="8205"/>
  </bookViews>
  <sheets>
    <sheet name="Sheet1" sheetId="1" r:id="rId1"/>
  </sheets>
  <definedNames>
    <definedName name="_63eab2fec3ce40eb8d14295fc814d9ef_1" localSheetId="0">Sheet1!$R$37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1" l="1"/>
  <c r="K16" i="1"/>
  <c r="F16" i="1" s="1"/>
  <c r="K17" i="1"/>
  <c r="F17" i="1" s="1"/>
  <c r="K18" i="1"/>
  <c r="F18" i="1" s="1"/>
  <c r="K19" i="1"/>
  <c r="F19" i="1" s="1"/>
  <c r="K20" i="1"/>
  <c r="K21" i="1"/>
  <c r="K22" i="1"/>
  <c r="K23" i="1"/>
  <c r="K24" i="1"/>
  <c r="K25" i="1"/>
  <c r="K26" i="1"/>
  <c r="K27" i="1"/>
  <c r="K28" i="1"/>
  <c r="F28" i="1" s="1"/>
  <c r="K29" i="1"/>
  <c r="F29" i="1" s="1"/>
  <c r="K30" i="1"/>
  <c r="F30" i="1" s="1"/>
  <c r="K31" i="1"/>
  <c r="F31" i="1" s="1"/>
  <c r="K32" i="1"/>
  <c r="F32" i="1" s="1"/>
  <c r="K33" i="1"/>
  <c r="F33" i="1" s="1"/>
  <c r="K34" i="1"/>
  <c r="K35" i="1"/>
  <c r="F35" i="1" s="1"/>
  <c r="K36" i="1"/>
  <c r="F36" i="1" s="1"/>
  <c r="K37" i="1"/>
  <c r="F37" i="1" s="1"/>
  <c r="K38" i="1"/>
  <c r="F38" i="1" s="1"/>
  <c r="K39" i="1"/>
  <c r="F39" i="1" s="1"/>
  <c r="K40" i="1"/>
  <c r="F40" i="1" s="1"/>
  <c r="K41" i="1"/>
  <c r="F41" i="1" s="1"/>
  <c r="K14" i="1"/>
  <c r="K15" i="1"/>
  <c r="M16" i="1"/>
  <c r="M22" i="1"/>
  <c r="M30" i="1"/>
  <c r="M31" i="1"/>
  <c r="L15" i="1"/>
  <c r="M15" i="1" s="1"/>
  <c r="L16" i="1"/>
  <c r="L17" i="1"/>
  <c r="M17" i="1" s="1"/>
  <c r="L18" i="1"/>
  <c r="M18" i="1" s="1"/>
  <c r="L19" i="1"/>
  <c r="M19" i="1" s="1"/>
  <c r="L20" i="1"/>
  <c r="M20" i="1" s="1"/>
  <c r="L21" i="1"/>
  <c r="M21" i="1" s="1"/>
  <c r="L22" i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L31" i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14" i="1"/>
  <c r="M14" i="1" s="1"/>
  <c r="J41" i="1"/>
  <c r="E41" i="1" s="1"/>
  <c r="J15" i="1"/>
  <c r="E15" i="1" s="1"/>
  <c r="J16" i="1"/>
  <c r="E16" i="1" s="1"/>
  <c r="J17" i="1"/>
  <c r="E17" i="1" s="1"/>
  <c r="J18" i="1"/>
  <c r="E18" i="1" s="1"/>
  <c r="J19" i="1"/>
  <c r="J20" i="1"/>
  <c r="J21" i="1"/>
  <c r="J22" i="1"/>
  <c r="J23" i="1"/>
  <c r="E23" i="1" s="1"/>
  <c r="J24" i="1"/>
  <c r="E24" i="1" s="1"/>
  <c r="J25" i="1"/>
  <c r="E25" i="1" s="1"/>
  <c r="J26" i="1"/>
  <c r="E26" i="1" s="1"/>
  <c r="J27" i="1"/>
  <c r="E27" i="1" s="1"/>
  <c r="J28" i="1"/>
  <c r="E28" i="1" s="1"/>
  <c r="J29" i="1"/>
  <c r="E29" i="1" s="1"/>
  <c r="J30" i="1"/>
  <c r="E30" i="1" s="1"/>
  <c r="J31" i="1"/>
  <c r="E31" i="1" s="1"/>
  <c r="J32" i="1"/>
  <c r="E32" i="1" s="1"/>
  <c r="J33" i="1"/>
  <c r="E33" i="1" s="1"/>
  <c r="J34" i="1"/>
  <c r="E34" i="1" s="1"/>
  <c r="J35" i="1"/>
  <c r="E35" i="1" s="1"/>
  <c r="J36" i="1"/>
  <c r="E36" i="1" s="1"/>
  <c r="J37" i="1"/>
  <c r="E37" i="1" s="1"/>
  <c r="J38" i="1"/>
  <c r="J39" i="1"/>
  <c r="E39" i="1" s="1"/>
  <c r="J40" i="1"/>
  <c r="E40" i="1" s="1"/>
  <c r="J14" i="1"/>
  <c r="H43" i="1"/>
  <c r="E19" i="1"/>
  <c r="E20" i="1"/>
  <c r="E21" i="1"/>
  <c r="E22" i="1"/>
  <c r="E38" i="1"/>
  <c r="K43" i="1" l="1"/>
  <c r="F15" i="1"/>
  <c r="J43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E14" i="1" l="1"/>
  <c r="F43" i="1" l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sourceData="1" parsePre="1" consecutive="1" url="https://www.iammeter.com/home/share/63eab2fec3ce40eb8d14295fc814d9ef"/>
  </connection>
</connections>
</file>

<file path=xl/sharedStrings.xml><?xml version="1.0" encoding="utf-8"?>
<sst xmlns="http://schemas.openxmlformats.org/spreadsheetml/2006/main" count="64" uniqueCount="63">
  <si>
    <t>Load Name</t>
  </si>
  <si>
    <t>Node Connected At</t>
  </si>
  <si>
    <t>CB Rating</t>
  </si>
  <si>
    <t>Power in MW</t>
  </si>
  <si>
    <t>AAC Block</t>
  </si>
  <si>
    <t>AAC</t>
  </si>
  <si>
    <t>ADMINISTRATION</t>
  </si>
  <si>
    <t>Administration</t>
  </si>
  <si>
    <t>BLOCK_10</t>
  </si>
  <si>
    <t>Block_10</t>
  </si>
  <si>
    <t>BLOCK_11</t>
  </si>
  <si>
    <t>Block_11</t>
  </si>
  <si>
    <t>BOYS_HOSTEL</t>
  </si>
  <si>
    <t>KU_Boyshostel</t>
  </si>
  <si>
    <t>Biotechnology(1)</t>
  </si>
  <si>
    <t>Biotechnology</t>
  </si>
  <si>
    <t>Block 8</t>
  </si>
  <si>
    <t>Block_8</t>
  </si>
  <si>
    <t>CV_RAMAN</t>
  </si>
  <si>
    <t>CV_Raman</t>
  </si>
  <si>
    <t>FAMILY_QUARTER</t>
  </si>
  <si>
    <t>A5 (Family Quater)</t>
  </si>
  <si>
    <t>KU_BOYS</t>
  </si>
  <si>
    <t>Block_9</t>
  </si>
  <si>
    <t>Girls_Hostel</t>
  </si>
  <si>
    <t>KU_MESH(1)</t>
  </si>
  <si>
    <t>KU_MESH</t>
  </si>
  <si>
    <t>KU_TTC(1)</t>
  </si>
  <si>
    <t>KU_TTC</t>
  </si>
  <si>
    <t>LIBRARY</t>
  </si>
  <si>
    <t>Library</t>
  </si>
  <si>
    <t>MECHANICAL_BLOCK</t>
  </si>
  <si>
    <t>Mechanical</t>
  </si>
  <si>
    <t>Multipurpose_Hall(1)</t>
  </si>
  <si>
    <t>Multipurpose_Hall</t>
  </si>
  <si>
    <t>NIMB</t>
  </si>
  <si>
    <t>Nepal Investment Bank</t>
  </si>
  <si>
    <t>PHARMACY_BLOCK</t>
  </si>
  <si>
    <t>Pharmacy_Block</t>
  </si>
  <si>
    <t>SLM_LAB</t>
  </si>
  <si>
    <t>SOM_LAB</t>
  </si>
  <si>
    <t>STAFF_QUARTER</t>
  </si>
  <si>
    <t>Staff Quater</t>
  </si>
  <si>
    <t>Science Block</t>
  </si>
  <si>
    <t>Science_Block</t>
  </si>
  <si>
    <t>TTC_BLOCKA</t>
  </si>
  <si>
    <t>TTC_2</t>
  </si>
  <si>
    <t>TTC_BLOCKB</t>
  </si>
  <si>
    <t>TTC_BlockA</t>
  </si>
  <si>
    <t>TTL(1)</t>
  </si>
  <si>
    <t>TTL</t>
  </si>
  <si>
    <t>ATM</t>
  </si>
  <si>
    <t>E5</t>
  </si>
  <si>
    <t>General Load(15)</t>
  </si>
  <si>
    <t>General Load(2)</t>
  </si>
  <si>
    <t>General Load(6)</t>
  </si>
  <si>
    <t>ATM_NIMB</t>
  </si>
  <si>
    <t>KU_Cafe</t>
  </si>
  <si>
    <t>KU_CAFE</t>
  </si>
  <si>
    <t>Peak Power (MW)</t>
  </si>
  <si>
    <t>Off Peak(MW)</t>
  </si>
  <si>
    <t>Worst Case(A)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</si>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</sst>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63eab2fec3ce40eb8d14295fc814d9ef_1" firstBackgroundRefresh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9:Q43"/>
  <sheetViews>
    <sheetView tabSelected="1" topLeftCell="A11" zoomScale="70" zoomScaleNormal="70" workbookViewId="0">
      <selection activeCell="J14" sqref="J14"/>
    </sheetView>
  </sheetViews>
  <sheetFormatPr defaultRowHeight="15" x14ac:dyDescent="0.25"/>
  <cols>
    <col min="3" max="3" width="24.28515625" customWidth="1"/>
    <col min="4" max="4" width="28.7109375" customWidth="1"/>
    <col min="10" max="10" width="19.42578125" customWidth="1"/>
    <col min="11" max="11" width="15.42578125" customWidth="1"/>
    <col min="12" max="12" width="16.7109375" customWidth="1"/>
    <col min="18" max="18" width="30.5703125" bestFit="1" customWidth="1"/>
    <col min="19" max="19" width="6.42578125" customWidth="1"/>
    <col min="20" max="20" width="9" customWidth="1"/>
  </cols>
  <sheetData>
    <row r="9" spans="1:13" x14ac:dyDescent="0.25">
      <c r="E9">
        <v>0.99</v>
      </c>
    </row>
    <row r="13" spans="1:13" x14ac:dyDescent="0.25">
      <c r="C13" s="1" t="s">
        <v>0</v>
      </c>
      <c r="D13" s="1" t="s">
        <v>1</v>
      </c>
      <c r="E13" s="1" t="s">
        <v>2</v>
      </c>
      <c r="F13" s="1" t="s">
        <v>3</v>
      </c>
      <c r="G13" s="1" t="s">
        <v>62</v>
      </c>
      <c r="J13" t="s">
        <v>59</v>
      </c>
      <c r="K13" t="s">
        <v>60</v>
      </c>
      <c r="L13" t="s">
        <v>61</v>
      </c>
    </row>
    <row r="14" spans="1:13" x14ac:dyDescent="0.25">
      <c r="A14">
        <v>1</v>
      </c>
      <c r="C14" t="s">
        <v>4</v>
      </c>
      <c r="D14" t="s">
        <v>5</v>
      </c>
      <c r="E14">
        <f>G14</f>
        <v>0.9</v>
      </c>
      <c r="F14">
        <v>0</v>
      </c>
      <c r="G14">
        <v>0.9</v>
      </c>
      <c r="H14">
        <v>50</v>
      </c>
      <c r="J14">
        <f>H14/4740*0.10224</f>
        <v>1.0784810126582278E-3</v>
      </c>
      <c r="K14">
        <f>H14/4740*46.26/1000</f>
        <v>4.8797468354430375E-4</v>
      </c>
      <c r="L14">
        <f>H14/400*125</f>
        <v>15.625</v>
      </c>
      <c r="M14">
        <f>(3*0.4*L14*0.9)/1000</f>
        <v>1.6875000000000005E-2</v>
      </c>
    </row>
    <row r="15" spans="1:13" x14ac:dyDescent="0.25">
      <c r="A15">
        <f>A14+1</f>
        <v>2</v>
      </c>
      <c r="C15" t="s">
        <v>6</v>
      </c>
      <c r="D15" t="s">
        <v>7</v>
      </c>
      <c r="E15">
        <f t="shared" ref="E15:E41" si="0">J15</f>
        <v>4.3139240506329113E-3</v>
      </c>
      <c r="F15">
        <f t="shared" ref="F15:F41" si="1">K15</f>
        <v>1.951898734177215E-3</v>
      </c>
      <c r="G15">
        <v>0.9</v>
      </c>
      <c r="H15">
        <v>200</v>
      </c>
      <c r="J15">
        <f t="shared" ref="J15:J40" si="2">H15/4740*0.10224</f>
        <v>4.3139240506329113E-3</v>
      </c>
      <c r="K15">
        <f>H15/4740*46.26/1000</f>
        <v>1.951898734177215E-3</v>
      </c>
      <c r="L15">
        <f t="shared" ref="L15:L41" si="3">H15/400*125</f>
        <v>62.5</v>
      </c>
      <c r="M15">
        <f t="shared" ref="M15:M41" si="4">(3*0.4*L15*0.9)/1000</f>
        <v>6.7500000000000018E-2</v>
      </c>
    </row>
    <row r="16" spans="1:13" x14ac:dyDescent="0.25">
      <c r="A16">
        <f t="shared" ref="A16:A41" si="5">A15+1</f>
        <v>3</v>
      </c>
      <c r="C16" t="s">
        <v>51</v>
      </c>
      <c r="D16" t="s">
        <v>56</v>
      </c>
      <c r="E16">
        <f t="shared" si="0"/>
        <v>4.3139240506329113E-3</v>
      </c>
      <c r="F16">
        <f t="shared" si="1"/>
        <v>1.951898734177215E-3</v>
      </c>
      <c r="G16">
        <v>0.9</v>
      </c>
      <c r="H16">
        <v>200</v>
      </c>
      <c r="J16">
        <f t="shared" si="2"/>
        <v>4.3139240506329113E-3</v>
      </c>
      <c r="K16">
        <f t="shared" ref="K16:K41" si="6">H16/4740*46.26/1000</f>
        <v>1.951898734177215E-3</v>
      </c>
      <c r="L16">
        <f t="shared" si="3"/>
        <v>62.5</v>
      </c>
      <c r="M16">
        <f t="shared" si="4"/>
        <v>6.7500000000000018E-2</v>
      </c>
    </row>
    <row r="17" spans="1:13" x14ac:dyDescent="0.25">
      <c r="A17">
        <f t="shared" si="5"/>
        <v>4</v>
      </c>
      <c r="C17" t="s">
        <v>8</v>
      </c>
      <c r="D17" t="s">
        <v>9</v>
      </c>
      <c r="E17">
        <f t="shared" si="0"/>
        <v>4.3139240506329113E-3</v>
      </c>
      <c r="F17">
        <f t="shared" si="1"/>
        <v>1.951898734177215E-3</v>
      </c>
      <c r="G17">
        <v>0.9</v>
      </c>
      <c r="H17">
        <v>200</v>
      </c>
      <c r="J17">
        <f t="shared" si="2"/>
        <v>4.3139240506329113E-3</v>
      </c>
      <c r="K17">
        <f t="shared" si="6"/>
        <v>1.951898734177215E-3</v>
      </c>
      <c r="L17">
        <f t="shared" si="3"/>
        <v>62.5</v>
      </c>
      <c r="M17">
        <f t="shared" si="4"/>
        <v>6.7500000000000018E-2</v>
      </c>
    </row>
    <row r="18" spans="1:13" x14ac:dyDescent="0.25">
      <c r="A18">
        <f t="shared" si="5"/>
        <v>5</v>
      </c>
      <c r="C18" t="s">
        <v>10</v>
      </c>
      <c r="D18" t="s">
        <v>11</v>
      </c>
      <c r="E18">
        <f t="shared" si="0"/>
        <v>2.1569620253164556E-3</v>
      </c>
      <c r="F18">
        <f t="shared" si="1"/>
        <v>9.7594936708860749E-4</v>
      </c>
      <c r="G18">
        <v>0.9</v>
      </c>
      <c r="H18">
        <v>100</v>
      </c>
      <c r="J18">
        <f t="shared" si="2"/>
        <v>2.1569620253164556E-3</v>
      </c>
      <c r="K18">
        <f t="shared" si="6"/>
        <v>9.7594936708860749E-4</v>
      </c>
      <c r="L18">
        <f t="shared" si="3"/>
        <v>31.25</v>
      </c>
      <c r="M18">
        <f t="shared" si="4"/>
        <v>3.3750000000000009E-2</v>
      </c>
    </row>
    <row r="19" spans="1:13" x14ac:dyDescent="0.25">
      <c r="A19">
        <f t="shared" si="5"/>
        <v>6</v>
      </c>
      <c r="C19" t="s">
        <v>12</v>
      </c>
      <c r="D19" t="s">
        <v>13</v>
      </c>
      <c r="E19">
        <f t="shared" si="0"/>
        <v>8.6278481012658226E-3</v>
      </c>
      <c r="F19">
        <f t="shared" si="1"/>
        <v>3.90379746835443E-3</v>
      </c>
      <c r="G19">
        <v>0.9</v>
      </c>
      <c r="H19">
        <v>400</v>
      </c>
      <c r="J19">
        <f t="shared" si="2"/>
        <v>8.6278481012658226E-3</v>
      </c>
      <c r="K19">
        <f t="shared" si="6"/>
        <v>3.90379746835443E-3</v>
      </c>
      <c r="L19">
        <f t="shared" si="3"/>
        <v>125</v>
      </c>
      <c r="M19">
        <f t="shared" si="4"/>
        <v>0.13500000000000004</v>
      </c>
    </row>
    <row r="20" spans="1:13" x14ac:dyDescent="0.25">
      <c r="A20">
        <f t="shared" si="5"/>
        <v>7</v>
      </c>
      <c r="C20" t="s">
        <v>14</v>
      </c>
      <c r="D20" t="s">
        <v>15</v>
      </c>
      <c r="E20">
        <f t="shared" si="0"/>
        <v>2.1569620253164556E-3</v>
      </c>
      <c r="F20">
        <v>0</v>
      </c>
      <c r="G20">
        <v>0.9</v>
      </c>
      <c r="H20">
        <v>100</v>
      </c>
      <c r="J20">
        <f t="shared" si="2"/>
        <v>2.1569620253164556E-3</v>
      </c>
      <c r="K20">
        <f t="shared" si="6"/>
        <v>9.7594936708860749E-4</v>
      </c>
      <c r="L20">
        <f t="shared" si="3"/>
        <v>31.25</v>
      </c>
      <c r="M20">
        <f t="shared" si="4"/>
        <v>3.3750000000000009E-2</v>
      </c>
    </row>
    <row r="21" spans="1:13" x14ac:dyDescent="0.25">
      <c r="A21">
        <f t="shared" si="5"/>
        <v>8</v>
      </c>
      <c r="C21" t="s">
        <v>16</v>
      </c>
      <c r="D21" t="s">
        <v>17</v>
      </c>
      <c r="E21">
        <f t="shared" si="0"/>
        <v>6.4708860759493669E-3</v>
      </c>
      <c r="F21">
        <v>0</v>
      </c>
      <c r="G21">
        <v>0.9</v>
      </c>
      <c r="H21">
        <v>300</v>
      </c>
      <c r="J21">
        <f t="shared" si="2"/>
        <v>6.4708860759493669E-3</v>
      </c>
      <c r="K21">
        <f t="shared" si="6"/>
        <v>2.9278481012658228E-3</v>
      </c>
      <c r="L21">
        <f t="shared" si="3"/>
        <v>93.75</v>
      </c>
      <c r="M21">
        <f t="shared" si="4"/>
        <v>0.10125000000000002</v>
      </c>
    </row>
    <row r="22" spans="1:13" x14ac:dyDescent="0.25">
      <c r="A22">
        <f t="shared" si="5"/>
        <v>9</v>
      </c>
      <c r="C22" t="s">
        <v>18</v>
      </c>
      <c r="D22" t="s">
        <v>19</v>
      </c>
      <c r="E22">
        <f t="shared" si="0"/>
        <v>5.3924050632911391E-3</v>
      </c>
      <c r="F22">
        <v>0.01</v>
      </c>
      <c r="G22">
        <v>0.9</v>
      </c>
      <c r="H22">
        <v>250</v>
      </c>
      <c r="J22">
        <f t="shared" si="2"/>
        <v>5.3924050632911391E-3</v>
      </c>
      <c r="K22">
        <f t="shared" si="6"/>
        <v>2.4398734177215192E-3</v>
      </c>
      <c r="L22">
        <f t="shared" si="3"/>
        <v>78.125</v>
      </c>
      <c r="M22">
        <f t="shared" si="4"/>
        <v>8.4375000000000019E-2</v>
      </c>
    </row>
    <row r="23" spans="1:13" x14ac:dyDescent="0.25">
      <c r="A23">
        <f t="shared" si="5"/>
        <v>10</v>
      </c>
      <c r="C23" t="s">
        <v>52</v>
      </c>
      <c r="D23" t="s">
        <v>52</v>
      </c>
      <c r="E23">
        <f t="shared" si="0"/>
        <v>5.3924050632911391E-3</v>
      </c>
      <c r="F23">
        <v>0.01</v>
      </c>
      <c r="G23">
        <v>0.9</v>
      </c>
      <c r="H23">
        <v>250</v>
      </c>
      <c r="J23">
        <f t="shared" si="2"/>
        <v>5.3924050632911391E-3</v>
      </c>
      <c r="K23">
        <f t="shared" si="6"/>
        <v>2.4398734177215192E-3</v>
      </c>
      <c r="L23">
        <f t="shared" si="3"/>
        <v>78.125</v>
      </c>
      <c r="M23">
        <f t="shared" si="4"/>
        <v>8.4375000000000019E-2</v>
      </c>
    </row>
    <row r="24" spans="1:13" x14ac:dyDescent="0.25">
      <c r="A24">
        <f t="shared" si="5"/>
        <v>11</v>
      </c>
      <c r="C24" t="s">
        <v>20</v>
      </c>
      <c r="D24" t="s">
        <v>21</v>
      </c>
      <c r="E24">
        <f t="shared" si="0"/>
        <v>4.3139240506329113E-3</v>
      </c>
      <c r="F24">
        <v>0.01</v>
      </c>
      <c r="G24">
        <v>0.9</v>
      </c>
      <c r="H24">
        <v>200</v>
      </c>
      <c r="J24">
        <f t="shared" si="2"/>
        <v>4.3139240506329113E-3</v>
      </c>
      <c r="K24">
        <f t="shared" si="6"/>
        <v>1.951898734177215E-3</v>
      </c>
      <c r="L24">
        <f t="shared" si="3"/>
        <v>62.5</v>
      </c>
      <c r="M24">
        <f t="shared" si="4"/>
        <v>6.7500000000000018E-2</v>
      </c>
    </row>
    <row r="25" spans="1:13" x14ac:dyDescent="0.25">
      <c r="A25">
        <f t="shared" si="5"/>
        <v>12</v>
      </c>
      <c r="C25" t="s">
        <v>53</v>
      </c>
      <c r="D25" t="s">
        <v>22</v>
      </c>
      <c r="E25">
        <f t="shared" si="0"/>
        <v>5.3924050632911391E-3</v>
      </c>
      <c r="F25">
        <v>0.01</v>
      </c>
      <c r="G25">
        <v>0.9</v>
      </c>
      <c r="H25">
        <v>250</v>
      </c>
      <c r="J25">
        <f t="shared" si="2"/>
        <v>5.3924050632911391E-3</v>
      </c>
      <c r="K25">
        <f t="shared" si="6"/>
        <v>2.4398734177215192E-3</v>
      </c>
      <c r="L25">
        <f t="shared" si="3"/>
        <v>78.125</v>
      </c>
      <c r="M25">
        <f t="shared" si="4"/>
        <v>8.4375000000000019E-2</v>
      </c>
    </row>
    <row r="26" spans="1:13" x14ac:dyDescent="0.25">
      <c r="A26">
        <f t="shared" si="5"/>
        <v>13</v>
      </c>
      <c r="C26" t="s">
        <v>54</v>
      </c>
      <c r="D26" t="s">
        <v>23</v>
      </c>
      <c r="E26">
        <f t="shared" si="0"/>
        <v>4.3139240506329113E-3</v>
      </c>
      <c r="F26">
        <v>0.01</v>
      </c>
      <c r="G26">
        <v>0.9</v>
      </c>
      <c r="H26">
        <v>200</v>
      </c>
      <c r="J26">
        <f t="shared" si="2"/>
        <v>4.3139240506329113E-3</v>
      </c>
      <c r="K26">
        <f t="shared" si="6"/>
        <v>1.951898734177215E-3</v>
      </c>
      <c r="L26">
        <f t="shared" si="3"/>
        <v>62.5</v>
      </c>
      <c r="M26">
        <f t="shared" si="4"/>
        <v>6.7500000000000018E-2</v>
      </c>
    </row>
    <row r="27" spans="1:13" x14ac:dyDescent="0.25">
      <c r="A27">
        <f t="shared" si="5"/>
        <v>14</v>
      </c>
      <c r="C27" t="s">
        <v>55</v>
      </c>
      <c r="D27" t="s">
        <v>24</v>
      </c>
      <c r="E27">
        <f t="shared" si="0"/>
        <v>8.6278481012658226E-3</v>
      </c>
      <c r="F27">
        <v>0.01</v>
      </c>
      <c r="G27">
        <v>0.9</v>
      </c>
      <c r="H27">
        <v>400</v>
      </c>
      <c r="J27">
        <f t="shared" si="2"/>
        <v>8.6278481012658226E-3</v>
      </c>
      <c r="K27">
        <f t="shared" si="6"/>
        <v>3.90379746835443E-3</v>
      </c>
      <c r="L27">
        <f t="shared" si="3"/>
        <v>125</v>
      </c>
      <c r="M27">
        <f t="shared" si="4"/>
        <v>0.13500000000000004</v>
      </c>
    </row>
    <row r="28" spans="1:13" x14ac:dyDescent="0.25">
      <c r="A28">
        <f t="shared" si="5"/>
        <v>15</v>
      </c>
      <c r="C28" t="s">
        <v>57</v>
      </c>
      <c r="D28" t="s">
        <v>58</v>
      </c>
      <c r="E28">
        <f t="shared" si="0"/>
        <v>5.3924050632911391E-4</v>
      </c>
      <c r="F28">
        <f t="shared" si="1"/>
        <v>2.4398734177215187E-4</v>
      </c>
      <c r="G28">
        <v>0.9</v>
      </c>
      <c r="H28">
        <v>25</v>
      </c>
      <c r="J28">
        <f t="shared" si="2"/>
        <v>5.3924050632911391E-4</v>
      </c>
      <c r="K28">
        <f t="shared" si="6"/>
        <v>2.4398734177215187E-4</v>
      </c>
      <c r="L28">
        <f t="shared" si="3"/>
        <v>7.8125</v>
      </c>
      <c r="M28">
        <f t="shared" si="4"/>
        <v>8.4375000000000023E-3</v>
      </c>
    </row>
    <row r="29" spans="1:13" x14ac:dyDescent="0.25">
      <c r="A29">
        <f t="shared" si="5"/>
        <v>16</v>
      </c>
      <c r="C29" t="s">
        <v>25</v>
      </c>
      <c r="D29" t="s">
        <v>26</v>
      </c>
      <c r="E29">
        <f t="shared" si="0"/>
        <v>8.6278481012658215E-4</v>
      </c>
      <c r="F29">
        <f t="shared" si="1"/>
        <v>3.9037974683544299E-4</v>
      </c>
      <c r="G29">
        <v>0.9</v>
      </c>
      <c r="H29">
        <v>40</v>
      </c>
      <c r="J29">
        <f t="shared" si="2"/>
        <v>8.6278481012658215E-4</v>
      </c>
      <c r="K29">
        <f t="shared" si="6"/>
        <v>3.9037974683544299E-4</v>
      </c>
      <c r="L29">
        <f t="shared" si="3"/>
        <v>12.5</v>
      </c>
      <c r="M29">
        <f t="shared" si="4"/>
        <v>1.3500000000000002E-2</v>
      </c>
    </row>
    <row r="30" spans="1:13" x14ac:dyDescent="0.25">
      <c r="A30">
        <f t="shared" si="5"/>
        <v>17</v>
      </c>
      <c r="C30" t="s">
        <v>27</v>
      </c>
      <c r="D30" t="s">
        <v>28</v>
      </c>
      <c r="E30">
        <f t="shared" si="0"/>
        <v>2.1569620253164556E-3</v>
      </c>
      <c r="F30">
        <f t="shared" si="1"/>
        <v>9.7594936708860749E-4</v>
      </c>
      <c r="G30">
        <v>0.9</v>
      </c>
      <c r="H30">
        <v>100</v>
      </c>
      <c r="J30">
        <f t="shared" si="2"/>
        <v>2.1569620253164556E-3</v>
      </c>
      <c r="K30">
        <f t="shared" si="6"/>
        <v>9.7594936708860749E-4</v>
      </c>
      <c r="L30">
        <f t="shared" si="3"/>
        <v>31.25</v>
      </c>
      <c r="M30">
        <f t="shared" si="4"/>
        <v>3.3750000000000009E-2</v>
      </c>
    </row>
    <row r="31" spans="1:13" x14ac:dyDescent="0.25">
      <c r="A31">
        <f t="shared" si="5"/>
        <v>18</v>
      </c>
      <c r="C31" t="s">
        <v>29</v>
      </c>
      <c r="D31" t="s">
        <v>30</v>
      </c>
      <c r="E31">
        <f t="shared" si="0"/>
        <v>2.1569620253164556E-3</v>
      </c>
      <c r="F31">
        <f t="shared" si="1"/>
        <v>9.7594936708860749E-4</v>
      </c>
      <c r="G31">
        <v>0.9</v>
      </c>
      <c r="H31">
        <v>100</v>
      </c>
      <c r="J31">
        <f t="shared" si="2"/>
        <v>2.1569620253164556E-3</v>
      </c>
      <c r="K31">
        <f t="shared" si="6"/>
        <v>9.7594936708860749E-4</v>
      </c>
      <c r="L31">
        <f t="shared" si="3"/>
        <v>31.25</v>
      </c>
      <c r="M31">
        <f t="shared" si="4"/>
        <v>3.3750000000000009E-2</v>
      </c>
    </row>
    <row r="32" spans="1:13" x14ac:dyDescent="0.25">
      <c r="A32">
        <f t="shared" si="5"/>
        <v>19</v>
      </c>
      <c r="C32" t="s">
        <v>31</v>
      </c>
      <c r="D32" t="s">
        <v>32</v>
      </c>
      <c r="E32">
        <f t="shared" si="0"/>
        <v>1.0784810126582278E-3</v>
      </c>
      <c r="F32">
        <f t="shared" si="1"/>
        <v>4.8797468354430375E-4</v>
      </c>
      <c r="G32">
        <v>0.9</v>
      </c>
      <c r="H32">
        <v>50</v>
      </c>
      <c r="J32">
        <f t="shared" si="2"/>
        <v>1.0784810126582278E-3</v>
      </c>
      <c r="K32">
        <f t="shared" si="6"/>
        <v>4.8797468354430375E-4</v>
      </c>
      <c r="L32">
        <f t="shared" si="3"/>
        <v>15.625</v>
      </c>
      <c r="M32">
        <f t="shared" si="4"/>
        <v>1.6875000000000005E-2</v>
      </c>
    </row>
    <row r="33" spans="1:17" x14ac:dyDescent="0.25">
      <c r="A33">
        <f t="shared" si="5"/>
        <v>20</v>
      </c>
      <c r="C33" t="s">
        <v>33</v>
      </c>
      <c r="D33" t="s">
        <v>34</v>
      </c>
      <c r="E33">
        <f t="shared" si="0"/>
        <v>2.1569620253164556E-3</v>
      </c>
      <c r="F33">
        <f t="shared" si="1"/>
        <v>9.7594936708860749E-4</v>
      </c>
      <c r="G33">
        <v>0.9</v>
      </c>
      <c r="H33">
        <v>100</v>
      </c>
      <c r="J33">
        <f t="shared" si="2"/>
        <v>2.1569620253164556E-3</v>
      </c>
      <c r="K33">
        <f t="shared" si="6"/>
        <v>9.7594936708860749E-4</v>
      </c>
      <c r="L33">
        <f t="shared" si="3"/>
        <v>31.25</v>
      </c>
      <c r="M33">
        <f t="shared" si="4"/>
        <v>3.3750000000000009E-2</v>
      </c>
    </row>
    <row r="34" spans="1:17" x14ac:dyDescent="0.25">
      <c r="A34">
        <f t="shared" si="5"/>
        <v>21</v>
      </c>
      <c r="C34" t="s">
        <v>35</v>
      </c>
      <c r="D34" t="s">
        <v>36</v>
      </c>
      <c r="E34">
        <f t="shared" si="0"/>
        <v>5.3924050632911391E-4</v>
      </c>
      <c r="F34">
        <f t="shared" si="1"/>
        <v>2.4398734177215187E-4</v>
      </c>
      <c r="G34">
        <v>0.9</v>
      </c>
      <c r="H34">
        <v>25</v>
      </c>
      <c r="J34">
        <f t="shared" si="2"/>
        <v>5.3924050632911391E-4</v>
      </c>
      <c r="K34">
        <f t="shared" si="6"/>
        <v>2.4398734177215187E-4</v>
      </c>
      <c r="L34">
        <f t="shared" si="3"/>
        <v>7.8125</v>
      </c>
      <c r="M34">
        <f t="shared" si="4"/>
        <v>8.4375000000000023E-3</v>
      </c>
      <c r="Q34">
        <v>1</v>
      </c>
    </row>
    <row r="35" spans="1:17" x14ac:dyDescent="0.25">
      <c r="A35">
        <f t="shared" si="5"/>
        <v>22</v>
      </c>
      <c r="C35" t="s">
        <v>37</v>
      </c>
      <c r="D35" t="s">
        <v>38</v>
      </c>
      <c r="E35">
        <f t="shared" si="0"/>
        <v>2.1569620253164556E-3</v>
      </c>
      <c r="F35">
        <f t="shared" si="1"/>
        <v>9.7594936708860749E-4</v>
      </c>
      <c r="G35">
        <v>0.9</v>
      </c>
      <c r="H35">
        <v>100</v>
      </c>
      <c r="J35">
        <f t="shared" si="2"/>
        <v>2.1569620253164556E-3</v>
      </c>
      <c r="K35">
        <f t="shared" si="6"/>
        <v>9.7594936708860749E-4</v>
      </c>
      <c r="L35">
        <f t="shared" si="3"/>
        <v>31.25</v>
      </c>
      <c r="M35">
        <f t="shared" si="4"/>
        <v>3.3750000000000009E-2</v>
      </c>
    </row>
    <row r="36" spans="1:17" x14ac:dyDescent="0.25">
      <c r="A36">
        <f t="shared" si="5"/>
        <v>23</v>
      </c>
      <c r="C36" t="s">
        <v>39</v>
      </c>
      <c r="D36" t="s">
        <v>40</v>
      </c>
      <c r="E36">
        <f t="shared" si="0"/>
        <v>2.1569620253164556E-3</v>
      </c>
      <c r="F36">
        <f t="shared" si="1"/>
        <v>9.7594936708860749E-4</v>
      </c>
      <c r="G36">
        <v>0.9</v>
      </c>
      <c r="H36">
        <v>100</v>
      </c>
      <c r="J36">
        <f t="shared" si="2"/>
        <v>2.1569620253164556E-3</v>
      </c>
      <c r="K36">
        <f t="shared" si="6"/>
        <v>9.7594936708860749E-4</v>
      </c>
      <c r="L36">
        <f t="shared" si="3"/>
        <v>31.25</v>
      </c>
      <c r="M36">
        <f t="shared" si="4"/>
        <v>3.3750000000000009E-2</v>
      </c>
    </row>
    <row r="37" spans="1:17" x14ac:dyDescent="0.25">
      <c r="A37">
        <f t="shared" si="5"/>
        <v>24</v>
      </c>
      <c r="C37" t="s">
        <v>41</v>
      </c>
      <c r="D37" t="s">
        <v>42</v>
      </c>
      <c r="E37">
        <f t="shared" si="0"/>
        <v>2.1569620253164556E-3</v>
      </c>
      <c r="F37">
        <f t="shared" si="1"/>
        <v>9.7594936708860749E-4</v>
      </c>
      <c r="G37">
        <v>0.9</v>
      </c>
      <c r="H37">
        <v>100</v>
      </c>
      <c r="J37">
        <f t="shared" si="2"/>
        <v>2.1569620253164556E-3</v>
      </c>
      <c r="K37">
        <f t="shared" si="6"/>
        <v>9.7594936708860749E-4</v>
      </c>
      <c r="L37">
        <f t="shared" si="3"/>
        <v>31.25</v>
      </c>
      <c r="M37">
        <f t="shared" si="4"/>
        <v>3.3750000000000009E-2</v>
      </c>
    </row>
    <row r="38" spans="1:17" x14ac:dyDescent="0.25">
      <c r="A38">
        <f t="shared" si="5"/>
        <v>25</v>
      </c>
      <c r="C38" t="s">
        <v>43</v>
      </c>
      <c r="D38" t="s">
        <v>44</v>
      </c>
      <c r="E38">
        <f t="shared" si="0"/>
        <v>2.1569620253164556E-3</v>
      </c>
      <c r="F38">
        <f t="shared" si="1"/>
        <v>9.7594936708860749E-4</v>
      </c>
      <c r="G38">
        <v>0.9</v>
      </c>
      <c r="H38">
        <v>100</v>
      </c>
      <c r="J38">
        <f t="shared" si="2"/>
        <v>2.1569620253164556E-3</v>
      </c>
      <c r="K38">
        <f t="shared" si="6"/>
        <v>9.7594936708860749E-4</v>
      </c>
      <c r="L38">
        <f t="shared" si="3"/>
        <v>31.25</v>
      </c>
      <c r="M38">
        <f t="shared" si="4"/>
        <v>3.3750000000000009E-2</v>
      </c>
    </row>
    <row r="39" spans="1:17" x14ac:dyDescent="0.25">
      <c r="A39">
        <f t="shared" si="5"/>
        <v>26</v>
      </c>
      <c r="C39" t="s">
        <v>45</v>
      </c>
      <c r="D39" t="s">
        <v>46</v>
      </c>
      <c r="E39">
        <f t="shared" si="0"/>
        <v>4.3139240506329113E-3</v>
      </c>
      <c r="F39">
        <f t="shared" si="1"/>
        <v>1.951898734177215E-3</v>
      </c>
      <c r="G39">
        <v>0.9</v>
      </c>
      <c r="H39">
        <v>200</v>
      </c>
      <c r="J39">
        <f t="shared" si="2"/>
        <v>4.3139240506329113E-3</v>
      </c>
      <c r="K39">
        <f t="shared" si="6"/>
        <v>1.951898734177215E-3</v>
      </c>
      <c r="L39">
        <f t="shared" si="3"/>
        <v>62.5</v>
      </c>
      <c r="M39">
        <f t="shared" si="4"/>
        <v>6.7500000000000018E-2</v>
      </c>
    </row>
    <row r="40" spans="1:17" x14ac:dyDescent="0.25">
      <c r="A40">
        <f t="shared" si="5"/>
        <v>27</v>
      </c>
      <c r="C40" t="s">
        <v>47</v>
      </c>
      <c r="D40" t="s">
        <v>48</v>
      </c>
      <c r="E40">
        <f t="shared" si="0"/>
        <v>6.4708860759493669E-3</v>
      </c>
      <c r="F40">
        <f t="shared" si="1"/>
        <v>2.9278481012658228E-3</v>
      </c>
      <c r="G40">
        <v>0.9</v>
      </c>
      <c r="H40">
        <v>300</v>
      </c>
      <c r="J40">
        <f t="shared" si="2"/>
        <v>6.4708860759493669E-3</v>
      </c>
      <c r="K40">
        <f t="shared" si="6"/>
        <v>2.9278481012658228E-3</v>
      </c>
      <c r="L40">
        <f t="shared" si="3"/>
        <v>93.75</v>
      </c>
      <c r="M40">
        <f t="shared" si="4"/>
        <v>0.10125000000000002</v>
      </c>
    </row>
    <row r="41" spans="1:17" x14ac:dyDescent="0.25">
      <c r="A41">
        <f t="shared" si="5"/>
        <v>28</v>
      </c>
      <c r="C41" t="s">
        <v>49</v>
      </c>
      <c r="D41" t="s">
        <v>50</v>
      </c>
      <c r="E41">
        <f t="shared" si="0"/>
        <v>6.4708860759493669E-3</v>
      </c>
      <c r="F41">
        <f t="shared" si="1"/>
        <v>2.9278481012658228E-3</v>
      </c>
      <c r="G41">
        <v>0.9</v>
      </c>
      <c r="H41">
        <v>300</v>
      </c>
      <c r="J41">
        <f>H41/4740*0.10224</f>
        <v>6.4708860759493669E-3</v>
      </c>
      <c r="K41">
        <f t="shared" si="6"/>
        <v>2.9278481012658228E-3</v>
      </c>
      <c r="L41">
        <f t="shared" si="3"/>
        <v>93.75</v>
      </c>
      <c r="M41">
        <f t="shared" si="4"/>
        <v>0.10125000000000002</v>
      </c>
    </row>
    <row r="43" spans="1:17" x14ac:dyDescent="0.25">
      <c r="F43">
        <f>SUM(F14:F41)</f>
        <v>8.6741012658227895E-2</v>
      </c>
      <c r="H43">
        <f>SUM(H14:H41)</f>
        <v>4740</v>
      </c>
      <c r="J43">
        <f>SUM(J14:J41)</f>
        <v>0.10224</v>
      </c>
      <c r="K43">
        <f>SUM(K14:K41)</f>
        <v>4.6260000000000003E-2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Sheet1!_63eab2fec3ce40eb8d14295fc814d9ef_1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Phurba</dc:creator>
  <cp:lastModifiedBy>Phurba</cp:lastModifiedBy>
  <dcterms:created xsi:type="dcterms:W3CDTF">2023-12-03T12:17:39Z</dcterms:created>
  <dcterms:modified xsi:type="dcterms:W3CDTF">2024-02-05T08:05:51Z</dcterms:modified>
</cp:coreProperties>
</file>